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0" documentId="8_{137AB968-17DA-4F69-B6B1-E5C78E16AD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G4" i="1"/>
  <c r="F4" i="1"/>
  <c r="H3" i="1"/>
  <c r="G3" i="1"/>
  <c r="F3" i="1"/>
  <c r="H2" i="1"/>
  <c r="G2" i="1"/>
  <c r="F2" i="1"/>
</calcChain>
</file>

<file path=xl/sharedStrings.xml><?xml version="1.0" encoding="utf-8"?>
<sst xmlns="http://schemas.openxmlformats.org/spreadsheetml/2006/main" count="14" uniqueCount="14">
  <si>
    <t>Artista</t>
  </si>
  <si>
    <t>Ouvintes Spotify</t>
  </si>
  <si>
    <t>Inscritos YouTube</t>
  </si>
  <si>
    <t>Visualizações YouTube</t>
  </si>
  <si>
    <t>Seguidores Instagram</t>
  </si>
  <si>
    <t>Alcance total</t>
  </si>
  <si>
    <t>Média atrasvés das plataformas</t>
  </si>
  <si>
    <t>Participação porcentual</t>
  </si>
  <si>
    <t>O Terno</t>
  </si>
  <si>
    <t>44.695.281</t>
  </si>
  <si>
    <t>Terno Rei</t>
  </si>
  <si>
    <t>25.785.955</t>
  </si>
  <si>
    <t>Venere Vai Venus</t>
  </si>
  <si>
    <t>19.306.513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</si>
</sst>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5" sqref="A5:H5"/>
    </sheetView>
  </sheetViews>
  <sheetFormatPr defaultRowHeight="15"/>
  <cols>
    <col min="1" max="1" width="26.5703125" bestFit="1" customWidth="1"/>
    <col min="2" max="2" width="15.42578125" bestFit="1" customWidth="1"/>
    <col min="3" max="3" width="17.42578125" bestFit="1" customWidth="1"/>
    <col min="4" max="4" width="20.85546875" bestFit="1" customWidth="1"/>
    <col min="5" max="5" width="20.140625" bestFit="1" customWidth="1"/>
    <col min="6" max="6" width="12" bestFit="1" customWidth="1"/>
    <col min="7" max="7" width="27.7109375" bestFit="1" customWidth="1"/>
    <col min="8" max="8" width="21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595000</v>
      </c>
      <c r="C2" s="2">
        <v>238000</v>
      </c>
      <c r="D2" s="3" t="s">
        <v>9</v>
      </c>
      <c r="E2" s="2">
        <v>153000</v>
      </c>
      <c r="F2">
        <f>SUM(B2:E2)</f>
        <v>986000</v>
      </c>
      <c r="G2" s="4">
        <f>AVERAGE(B2:E2)</f>
        <v>328666.66666666669</v>
      </c>
      <c r="H2" s="5">
        <f>B2/SUM(B2:B4)</f>
        <v>0.30376267507195859</v>
      </c>
    </row>
    <row r="3" spans="1:8">
      <c r="A3" t="s">
        <v>10</v>
      </c>
      <c r="B3" s="2">
        <v>239107</v>
      </c>
      <c r="C3" s="2">
        <v>66900</v>
      </c>
      <c r="D3" s="3" t="s">
        <v>11</v>
      </c>
      <c r="E3" s="2">
        <v>122000</v>
      </c>
      <c r="F3">
        <f t="shared" ref="F3:F4" si="0">SUM(B3:E3)</f>
        <v>428007</v>
      </c>
      <c r="G3">
        <f t="shared" ref="G3:G4" si="1">AVERAGE(B3:E3)</f>
        <v>142669</v>
      </c>
      <c r="H3" s="5">
        <f>B3/SUM(B2:B4)</f>
        <v>0.12207022176206857</v>
      </c>
    </row>
    <row r="4" spans="1:8">
      <c r="A4" t="s">
        <v>12</v>
      </c>
      <c r="B4" s="2">
        <v>1124659</v>
      </c>
      <c r="C4" s="2">
        <v>61800</v>
      </c>
      <c r="D4" s="3" t="s">
        <v>13</v>
      </c>
      <c r="E4" s="2">
        <v>125000</v>
      </c>
      <c r="F4">
        <f t="shared" si="0"/>
        <v>1311459</v>
      </c>
      <c r="G4">
        <f t="shared" si="1"/>
        <v>437153</v>
      </c>
      <c r="H4" s="5">
        <f>B4/SUM(B2:B4)</f>
        <v>0.57416710316597286</v>
      </c>
    </row>
    <row r="5" spans="1:8">
      <c r="B5" s="2"/>
      <c r="C5" s="2"/>
      <c r="D5" s="3"/>
      <c r="E5" s="2"/>
      <c r="H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2026-06-10T13:22:12Z</dcterms:created>
  <dcterms:modified xsi:type="dcterms:W3CDTF">2026-06-10T14:15:51Z</dcterms:modified>
  <cp:category/>
  <cp:contentStatus/>
</cp:coreProperties>
</file>